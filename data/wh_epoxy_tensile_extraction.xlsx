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rified" sheetId="2" state="visible" r:id="rId4"/>
    <sheet name="Graph estimates" sheetId="3" state="visible" r:id="rId5"/>
    <sheet name="Conflicts" sheetId="4" state="visible" r:id="rId6"/>
    <sheet name="Source &amp; limit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<sst xmlns="http://schemas.openxmlformats.org/spreadsheetml/2006/main" count="222" uniqueCount="155">
  <si>
    <t xml:space="preserve">Water hyacinth / epoxy tensile-strength extraction (Sulardjaka et al., 2023)</t>
  </si>
  <si>
    <t xml:space="preserve">Staged extraction, not merged into any project dataset. Water hyacinth only; not pooled with Ipomoea carnea.</t>
  </si>
  <si>
    <t xml:space="preserve">Verified rows (incl. baseline)</t>
  </si>
  <si>
    <t xml:space="preserve">Verified fibre-composite observations</t>
  </si>
  <si>
    <t xml:space="preserve">Matrix-only baseline rows</t>
  </si>
  <si>
    <t xml:space="preserve">Graph-estimate rows (not verified)</t>
  </si>
  <si>
    <t xml:space="preserve">Unresolved text/figure conflicts</t>
  </si>
  <si>
    <t xml:space="preserve">Max verified tensile strength (MPa)</t>
  </si>
  <si>
    <t xml:space="preserve">Min verified fibre-composite strength (MPa)</t>
  </si>
  <si>
    <t xml:space="preserve">Specimen-level data available?</t>
  </si>
  <si>
    <t xml:space="preserve">No</t>
  </si>
  <si>
    <t xml:space="preserve">Ready for modelling?</t>
  </si>
  <si>
    <t xml:space="preserve">Sheets: Verified | Graph estimates | Conflicts | Source &amp; limitations</t>
  </si>
  <si>
    <t xml:space="preserve">Page refs: PDF page = journal page - 25. Fig. 6 is on journal p.30.</t>
  </si>
  <si>
    <t xml:space="preserve">Obs ID</t>
  </si>
  <si>
    <t xml:space="preserve">Fibre loading (wt%)</t>
  </si>
  <si>
    <t xml:space="preserve">Treatment</t>
  </si>
  <si>
    <t xml:space="preserve">Conc.</t>
  </si>
  <si>
    <t xml:space="preserve">Duration (h)</t>
  </si>
  <si>
    <t xml:space="preserve">Tensile strength (MPa)</t>
  </si>
  <si>
    <t xml:space="preserve">Value basis</t>
  </si>
  <si>
    <t xml:space="preserve">Fibre composite?</t>
  </si>
  <si>
    <t xml:space="preserve">Text location</t>
  </si>
  <si>
    <t xml:space="preserve">Figure location</t>
  </si>
  <si>
    <t xml:space="preserve">Cross-check</t>
  </si>
  <si>
    <t xml:space="preserve">Test method</t>
  </si>
  <si>
    <t xml:space="preserve">Fibre / form</t>
  </si>
  <si>
    <t xml:space="preserve">Matrix</t>
  </si>
  <si>
    <t xml:space="preserve">Process</t>
  </si>
  <si>
    <t xml:space="preserve">Statistic</t>
  </si>
  <si>
    <t xml:space="preserve">Notes</t>
  </si>
  <si>
    <t xml:space="preserve">WH001</t>
  </si>
  <si>
    <t xml:space="preserve">none (neat epoxy baseline)</t>
  </si>
  <si>
    <t xml:space="preserve">n/a</t>
  </si>
  <si>
    <t xml:space="preserve">directly_reported_text</t>
  </si>
  <si>
    <t xml:space="preserve">False</t>
  </si>
  <si>
    <t xml:space="preserve">p.29 Sec 5.3 (41-&gt;59 MPa; 41-&gt;55 MPa); p.31 Concl. 3</t>
  </si>
  <si>
    <t xml:space="preserve">Fig. 6 (p.30), x=0</t>
  </si>
  <si>
    <t xml:space="preserve">text and Fig. 6 agree (~41)</t>
  </si>
  <si>
    <t xml:space="preserve">ASTM D3039 (composite); ASTM D638 (neat resin)</t>
  </si>
  <si>
    <t xml:space="preserve">unidirectional, mechanically extracted strands</t>
  </si>
  <si>
    <t xml:space="preserve">Epoxy Bakelite EPR 174 + hardener V-140</t>
  </si>
  <si>
    <t xml:space="preserve">hand lay-up; 5 MPa compaction; water-jet cut</t>
  </si>
  <si>
    <t xml:space="preserve">not stated (single value per condition; mean/SD/error bars absent)</t>
  </si>
  <si>
    <t xml:space="preserve">Matrix-only baseline; exclude from fibre-composite modelling subsets. Text never labels 41 MPa explicitly as neat resin; inferred from 0 wt% start of series.</t>
  </si>
  <si>
    <t xml:space="preserve">WH002</t>
  </si>
  <si>
    <t xml:space="preserve">none (untreated)</t>
  </si>
  <si>
    <t xml:space="preserve">True</t>
  </si>
  <si>
    <t xml:space="preserve">p.29 Sec 5.3; p.31 Concl. 3</t>
  </si>
  <si>
    <t xml:space="preserve">Fig. 6 (p.30), Untreated @25</t>
  </si>
  <si>
    <t xml:space="preserve">text and Fig. 6 agree (~45)</t>
  </si>
  <si>
    <t xml:space="preserve">WH003</t>
  </si>
  <si>
    <t xml:space="preserve">alkali (NaOH)</t>
  </si>
  <si>
    <t xml:space="preserve">5%</t>
  </si>
  <si>
    <t xml:space="preserve">24</t>
  </si>
  <si>
    <t xml:space="preserve">Fig. 6 (p.30), 5% NaOH @15</t>
  </si>
  <si>
    <t xml:space="preserve">text and Fig. 6 agree (~55)</t>
  </si>
  <si>
    <t xml:space="preserve">NaOH conc. basis (w/w, w/v) not stated.</t>
  </si>
  <si>
    <t xml:space="preserve">WH004</t>
  </si>
  <si>
    <t xml:space="preserve">Fig. 6 (p.30), 5% NaOH @25</t>
  </si>
  <si>
    <t xml:space="preserve">text and Fig. 6 agree (~58)</t>
  </si>
  <si>
    <t xml:space="preserve">NaOH conc. basis not stated.</t>
  </si>
  <si>
    <t xml:space="preserve">WH005</t>
  </si>
  <si>
    <t xml:space="preserve">esterification (acetic anhydride; paper also writes CH3COOH)</t>
  </si>
  <si>
    <t xml:space="preserve">not reported</t>
  </si>
  <si>
    <t xml:space="preserve">Fig. 6 (p.30), AA @15</t>
  </si>
  <si>
    <t xml:space="preserve">text and Fig. 6 agree (~59)</t>
  </si>
  <si>
    <t xml:space="preserve">Reagent identity ambiguous in paper (acetic acid vs anhydride); concentration/temperature absent.</t>
  </si>
  <si>
    <t xml:space="preserve">WH006</t>
  </si>
  <si>
    <t xml:space="preserve">p.29 Sec 5.3; p.31 Concl. 3 (highest AA value)</t>
  </si>
  <si>
    <t xml:space="preserve">Fig. 6 (p.30), AA @25</t>
  </si>
  <si>
    <t xml:space="preserve">text and Fig. 6 agree (~61)</t>
  </si>
  <si>
    <t xml:space="preserve">Same reagent ambiguity as WH005.</t>
  </si>
  <si>
    <t xml:space="preserve">Est. ID</t>
  </si>
  <si>
    <t xml:space="preserve">Tensile strength (MPa, est.)</t>
  </si>
  <si>
    <t xml:space="preserve">Reliability note</t>
  </si>
  <si>
    <t xml:space="preserve">WHE01</t>
  </si>
  <si>
    <t xml:space="preserve">graph_estimate</t>
  </si>
  <si>
    <t xml:space="preserve">not stated numerically</t>
  </si>
  <si>
    <t xml:space="preserve">Fig. 6 (p.30), Untreated @15</t>
  </si>
  <si>
    <t xml:space="preserve">read ~±1 MPa; no text value</t>
  </si>
  <si>
    <t xml:space="preserve">WHE02</t>
  </si>
  <si>
    <t xml:space="preserve">10%</t>
  </si>
  <si>
    <t xml:space="preserve">p.29-30 qualitative only ('did not affect')</t>
  </si>
  <si>
    <t xml:space="preserve">Fig. 6 (p.30), 10% NaOH @15</t>
  </si>
  <si>
    <t xml:space="preserve">read ~±1 MPa</t>
  </si>
  <si>
    <t xml:space="preserve">WHE03</t>
  </si>
  <si>
    <t xml:space="preserve">p.29-30 qualitative only</t>
  </si>
  <si>
    <t xml:space="preserve">Fig. 6 (p.30), 10% NaOH @25</t>
  </si>
  <si>
    <t xml:space="preserve">WHE04</t>
  </si>
  <si>
    <t xml:space="preserve">esterification (acetic anhydride)</t>
  </si>
  <si>
    <t xml:space="preserve">p.29 'about 7%' above 61 MPa (~65, derived)</t>
  </si>
  <si>
    <t xml:space="preserve">Fig. 6 (p.30), AA @35</t>
  </si>
  <si>
    <t xml:space="preserve">figure ~64-65 and text-derived ~65 are consistent; still an estimate</t>
  </si>
  <si>
    <t xml:space="preserve">Conflict ID</t>
  </si>
  <si>
    <t xml:space="preserve">Loading (wt%)</t>
  </si>
  <si>
    <t xml:space="preserve">Text value</t>
  </si>
  <si>
    <t xml:space="preserve">Fig. 6 estimate</t>
  </si>
  <si>
    <t xml:space="preserve">Status</t>
  </si>
  <si>
    <t xml:space="preserve">WHC01</t>
  </si>
  <si>
    <t xml:space="preserve">untreated</t>
  </si>
  <si>
    <t xml:space="preserve">67 MPa (p.29; p.31 Concl.3)</t>
  </si>
  <si>
    <t xml:space="preserve">~54 MPa</t>
  </si>
  <si>
    <t xml:space="preserve">UNRESOLVED</t>
  </si>
  <si>
    <t xml:space="preserve">WHC02</t>
  </si>
  <si>
    <t xml:space="preserve">5% NaOH</t>
  </si>
  <si>
    <t xml:space="preserve">51 MPa (p.29; p.31 Concl.3; '12% reduction')</t>
  </si>
  <si>
    <t xml:space="preserve">~59 MPa (curve rises, not falls)</t>
  </si>
  <si>
    <t xml:space="preserve">WHC03</t>
  </si>
  <si>
    <t xml:space="preserve">10% NaOH</t>
  </si>
  <si>
    <t xml:space="preserve">35 MPa (p.30; p.31 Concl.3)</t>
  </si>
  <si>
    <t xml:space="preserve">~42 MPa</t>
  </si>
  <si>
    <t xml:space="preserve">WHC04</t>
  </si>
  <si>
    <t xml:space="preserve">AA</t>
  </si>
  <si>
    <t xml:space="preserve">~65 MPa derived from '7%' (not stated as a number)</t>
  </si>
  <si>
    <t xml:space="preserve">~64-65 MPa</t>
  </si>
  <si>
    <t xml:space="preserve">consistent but estimate only</t>
  </si>
  <si>
    <t xml:space="preserve">Source ID</t>
  </si>
  <si>
    <t xml:space="preserve">WH-EPOXY-SULARDJAKA-2023</t>
  </si>
  <si>
    <t xml:space="preserve">Title</t>
  </si>
  <si>
    <t xml:space="preserve">The effect of alkalization and esterification treatment on mechanical properties of water hyacinth fiber reinforced epoxy-resin composite</t>
  </si>
  <si>
    <t xml:space="preserve">Authors</t>
  </si>
  <si>
    <t xml:space="preserve">Sulardjaka Sulardjaka; Norman Iskandar; Parlindungan Manik; Dwi Satrio Nurseto</t>
  </si>
  <si>
    <t xml:space="preserve">Journal</t>
  </si>
  <si>
    <t xml:space="preserve">Eastern-European Journal of Enterprise Technologies 1 (12(121))</t>
  </si>
  <si>
    <t xml:space="preserve">Year / pages</t>
  </si>
  <si>
    <t xml:space="preserve">2023 / 26-33</t>
  </si>
  <si>
    <t xml:space="preserve">DOI</t>
  </si>
  <si>
    <t xml:space="preserve">10.15587/1729-4061.2023.274064</t>
  </si>
  <si>
    <t xml:space="preserve">Page mapping</t>
  </si>
  <si>
    <t xml:space="preserve">PDF page = journal page - 25</t>
  </si>
  <si>
    <t xml:space="preserve">Licence</t>
  </si>
  <si>
    <t xml:space="preserve">CC BY</t>
  </si>
  <si>
    <t xml:space="preserve">Data availability</t>
  </si>
  <si>
    <t xml:space="preserve">Manuscript has no associated data (p.31)</t>
  </si>
  <si>
    <t xml:space="preserve">Material family</t>
  </si>
  <si>
    <t xml:space="preserve">water hyacinth (NOT Ipomoea carnea)</t>
  </si>
  <si>
    <t xml:space="preserve">Limitation 1</t>
  </si>
  <si>
    <t xml:space="preserve">No EcoFiber schema, source register, audit/readiness scripts or test suite were in the upload; columns are provisional and not merged into any project dataset.</t>
  </si>
  <si>
    <t xml:space="preserve">Limitation 2</t>
  </si>
  <si>
    <t xml:space="preserve">No specimen-level data, no mean/SD statement, no error bars; one value per condition.</t>
  </si>
  <si>
    <t xml:space="preserve">Limitation 3</t>
  </si>
  <si>
    <t xml:space="preserve">Fig. 7 (labelled elongation) is a byte-identical image of Fig. 6 with a tensile-strength axis; elongation cannot be read from figures.</t>
  </si>
  <si>
    <t xml:space="preserve">Limitation 4</t>
  </si>
  <si>
    <t xml:space="preserve">Text and Fig. 6 disagree at 35 wt% for all four series; those values excluded (see Conflicts).</t>
  </si>
  <si>
    <t xml:space="preserve">Limitation 5</t>
  </si>
  <si>
    <t xml:space="preserve">Abstract lists 2/5/10% NaOH; methods/results report only 5% and 10%.</t>
  </si>
  <si>
    <t xml:space="preserve">Limitation 6</t>
  </si>
  <si>
    <t xml:space="preserve">Esterification reagent written as both CH3COOH and acetic anhydride; concentration, temperature, resin mix ratio, cure schedule, crosshead speed and specimen geometry not reported.</t>
  </si>
  <si>
    <t xml:space="preserve">Limitation 7</t>
  </si>
  <si>
    <t xml:space="preserve">Water hyacinth data kept separate from Ipomoea carnea; not pooled or interchangeable.</t>
  </si>
  <si>
    <t xml:space="preserve">Lead (unverified)</t>
  </si>
  <si>
    <t xml:space="preserve">Authors' earlier Heliyon 2022 paper (ref. 40) may hold fuller data.</t>
  </si>
  <si>
    <t xml:space="preserve">Readiness (tensile strength)</t>
  </si>
  <si>
    <t xml:space="preserve">Not ready for modelling: 5 usable points from one paper and a text/figure conflict at the highest loading.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</si>
</sst>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COUNTA(Verified!A2:A7)</f>
        <v>6</v>
      </c>
    </row>
    <row r="5" customFormat="false" ht="15" hidden="false" customHeight="false" outlineLevel="0" collapsed="false">
      <c r="A5" s="3" t="s">
        <v>3</v>
      </c>
      <c r="B5" s="4" t="n">
        <f aca="false">COUNTIF(Verified!H2:H7,"True")</f>
        <v>5</v>
      </c>
    </row>
    <row r="6" customFormat="false" ht="15" hidden="false" customHeight="false" outlineLevel="0" collapsed="false">
      <c r="A6" s="3" t="s">
        <v>4</v>
      </c>
      <c r="B6" s="4" t="n">
        <f aca="false">COUNTIF(Verified!H2:H7,"False")</f>
        <v>1</v>
      </c>
    </row>
    <row r="7" customFormat="false" ht="15" hidden="false" customHeight="false" outlineLevel="0" collapsed="false">
      <c r="A7" s="3" t="s">
        <v>5</v>
      </c>
      <c r="B7" s="4" t="n">
        <f aca="false">COUNTA('Graph estimates'!A2:A5)</f>
        <v>4</v>
      </c>
    </row>
    <row r="8" customFormat="false" ht="15" hidden="false" customHeight="false" outlineLevel="0" collapsed="false">
      <c r="A8" s="3" t="s">
        <v>6</v>
      </c>
      <c r="B8" s="4" t="n">
        <f aca="false">COUNTIF(Conflicts!F2:F5,"UNRESOLVED")</f>
        <v>3</v>
      </c>
    </row>
    <row r="9" customFormat="false" ht="15" hidden="false" customHeight="false" outlineLevel="0" collapsed="false">
      <c r="A9" s="3" t="s">
        <v>7</v>
      </c>
      <c r="B9" s="4" t="n">
        <f aca="false">MAX(Verified!F2:F7)</f>
        <v>61</v>
      </c>
    </row>
    <row r="10" customFormat="false" ht="15" hidden="false" customHeight="false" outlineLevel="0" collapsed="false">
      <c r="A10" s="3" t="s">
        <v>8</v>
      </c>
      <c r="B10" s="4" t="n">
        <f aca="false">MIN(Verified!F3:F7)</f>
        <v>45</v>
      </c>
    </row>
    <row r="11" customFormat="false" ht="15" hidden="false" customHeight="false" outlineLevel="0" collapsed="false">
      <c r="A11" s="3" t="s">
        <v>9</v>
      </c>
      <c r="B11" s="4" t="s">
        <v>10</v>
      </c>
    </row>
    <row r="12" customFormat="false" ht="15" hidden="false" customHeight="false" outlineLevel="0" collapsed="false">
      <c r="A12" s="3" t="s">
        <v>11</v>
      </c>
      <c r="B12" s="4" t="s">
        <v>10</v>
      </c>
    </row>
    <row r="14" customFormat="false" ht="15" hidden="false" customHeight="false" outlineLevel="0" collapsed="false">
      <c r="A14" s="5" t="s">
        <v>12</v>
      </c>
    </row>
    <row r="15" customFormat="false" ht="15" hidden="false" customHeight="false" outlineLevel="0" collapsed="false">
      <c r="A15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34"/>
    <col collapsed="false" customWidth="true" hidden="false" outlineLevel="0" max="10" min="10" style="0" width="26"/>
    <col collapsed="false" customWidth="true" hidden="false" outlineLevel="0" max="11" min="11" style="0" width="24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5" min="14" style="0" width="26"/>
    <col collapsed="false" customWidth="true" hidden="false" outlineLevel="0" max="16" min="16" style="0" width="28"/>
    <col collapsed="false" customWidth="true" hidden="false" outlineLevel="0" max="17" min="17" style="0" width="50"/>
  </cols>
  <sheetData>
    <row r="1" customFormat="false" ht="30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</row>
    <row r="2" customFormat="false" ht="35.05" hidden="false" customHeight="false" outlineLevel="0" collapsed="false">
      <c r="A2" s="7" t="s">
        <v>31</v>
      </c>
      <c r="B2" s="7" t="n">
        <v>0</v>
      </c>
      <c r="C2" s="7" t="s">
        <v>32</v>
      </c>
      <c r="D2" s="7" t="s">
        <v>33</v>
      </c>
      <c r="E2" s="7" t="s">
        <v>33</v>
      </c>
      <c r="F2" s="7" t="n">
        <v>41</v>
      </c>
      <c r="G2" s="7" t="s">
        <v>34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40</v>
      </c>
      <c r="N2" s="7" t="s">
        <v>41</v>
      </c>
      <c r="O2" s="7" t="s">
        <v>42</v>
      </c>
      <c r="P2" s="7" t="s">
        <v>43</v>
      </c>
      <c r="Q2" s="7" t="s">
        <v>44</v>
      </c>
    </row>
    <row r="3" customFormat="false" ht="35.05" hidden="false" customHeight="false" outlineLevel="0" collapsed="false">
      <c r="A3" s="7" t="s">
        <v>45</v>
      </c>
      <c r="B3" s="7" t="n">
        <v>25</v>
      </c>
      <c r="C3" s="7" t="s">
        <v>46</v>
      </c>
      <c r="D3" s="7" t="s">
        <v>33</v>
      </c>
      <c r="E3" s="7" t="s">
        <v>33</v>
      </c>
      <c r="F3" s="7" t="n">
        <v>45</v>
      </c>
      <c r="G3" s="7" t="s">
        <v>34</v>
      </c>
      <c r="H3" s="7" t="s">
        <v>47</v>
      </c>
      <c r="I3" s="7" t="s">
        <v>48</v>
      </c>
      <c r="J3" s="7" t="s">
        <v>49</v>
      </c>
      <c r="K3" s="7" t="s">
        <v>50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/>
    </row>
    <row r="4" customFormat="false" ht="35.05" hidden="false" customHeight="false" outlineLevel="0" collapsed="false">
      <c r="A4" s="7" t="s">
        <v>51</v>
      </c>
      <c r="B4" s="7" t="n">
        <v>15</v>
      </c>
      <c r="C4" s="7" t="s">
        <v>52</v>
      </c>
      <c r="D4" s="7" t="s">
        <v>53</v>
      </c>
      <c r="E4" s="7" t="s">
        <v>54</v>
      </c>
      <c r="F4" s="7" t="n">
        <v>55</v>
      </c>
      <c r="G4" s="7" t="s">
        <v>34</v>
      </c>
      <c r="H4" s="7" t="s">
        <v>47</v>
      </c>
      <c r="I4" s="7" t="s">
        <v>48</v>
      </c>
      <c r="J4" s="7" t="s">
        <v>55</v>
      </c>
      <c r="K4" s="7" t="s">
        <v>56</v>
      </c>
      <c r="L4" s="7" t="s">
        <v>39</v>
      </c>
      <c r="M4" s="7" t="s">
        <v>40</v>
      </c>
      <c r="N4" s="7" t="s">
        <v>41</v>
      </c>
      <c r="O4" s="7" t="s">
        <v>42</v>
      </c>
      <c r="P4" s="7" t="s">
        <v>43</v>
      </c>
      <c r="Q4" s="7" t="s">
        <v>57</v>
      </c>
    </row>
    <row r="5" customFormat="false" ht="35.05" hidden="false" customHeight="false" outlineLevel="0" collapsed="false">
      <c r="A5" s="7" t="s">
        <v>58</v>
      </c>
      <c r="B5" s="7" t="n">
        <v>25</v>
      </c>
      <c r="C5" s="7" t="s">
        <v>52</v>
      </c>
      <c r="D5" s="7" t="s">
        <v>53</v>
      </c>
      <c r="E5" s="7" t="s">
        <v>54</v>
      </c>
      <c r="F5" s="7" t="n">
        <v>58</v>
      </c>
      <c r="G5" s="7" t="s">
        <v>34</v>
      </c>
      <c r="H5" s="7" t="s">
        <v>47</v>
      </c>
      <c r="I5" s="7" t="s">
        <v>48</v>
      </c>
      <c r="J5" s="7" t="s">
        <v>59</v>
      </c>
      <c r="K5" s="7" t="s">
        <v>60</v>
      </c>
      <c r="L5" s="7" t="s">
        <v>39</v>
      </c>
      <c r="M5" s="7" t="s">
        <v>40</v>
      </c>
      <c r="N5" s="7" t="s">
        <v>41</v>
      </c>
      <c r="O5" s="7" t="s">
        <v>42</v>
      </c>
      <c r="P5" s="7" t="s">
        <v>43</v>
      </c>
      <c r="Q5" s="7" t="s">
        <v>61</v>
      </c>
    </row>
    <row r="6" customFormat="false" ht="35.05" hidden="false" customHeight="false" outlineLevel="0" collapsed="false">
      <c r="A6" s="7" t="s">
        <v>62</v>
      </c>
      <c r="B6" s="7" t="n">
        <v>15</v>
      </c>
      <c r="C6" s="7" t="s">
        <v>63</v>
      </c>
      <c r="D6" s="7" t="s">
        <v>64</v>
      </c>
      <c r="E6" s="7" t="s">
        <v>54</v>
      </c>
      <c r="F6" s="7" t="n">
        <v>59</v>
      </c>
      <c r="G6" s="7" t="s">
        <v>34</v>
      </c>
      <c r="H6" s="7" t="s">
        <v>47</v>
      </c>
      <c r="I6" s="7" t="s">
        <v>48</v>
      </c>
      <c r="J6" s="7" t="s">
        <v>65</v>
      </c>
      <c r="K6" s="7" t="s">
        <v>66</v>
      </c>
      <c r="L6" s="7" t="s">
        <v>39</v>
      </c>
      <c r="M6" s="7" t="s">
        <v>40</v>
      </c>
      <c r="N6" s="7" t="s">
        <v>41</v>
      </c>
      <c r="O6" s="7" t="s">
        <v>42</v>
      </c>
      <c r="P6" s="7" t="s">
        <v>43</v>
      </c>
      <c r="Q6" s="7" t="s">
        <v>67</v>
      </c>
    </row>
    <row r="7" customFormat="false" ht="35.05" hidden="false" customHeight="false" outlineLevel="0" collapsed="false">
      <c r="A7" s="7" t="s">
        <v>68</v>
      </c>
      <c r="B7" s="7" t="n">
        <v>25</v>
      </c>
      <c r="C7" s="7" t="s">
        <v>63</v>
      </c>
      <c r="D7" s="7" t="s">
        <v>64</v>
      </c>
      <c r="E7" s="7" t="s">
        <v>54</v>
      </c>
      <c r="F7" s="7" t="n">
        <v>61</v>
      </c>
      <c r="G7" s="7" t="s">
        <v>34</v>
      </c>
      <c r="H7" s="7" t="s">
        <v>47</v>
      </c>
      <c r="I7" s="7" t="s">
        <v>69</v>
      </c>
      <c r="J7" s="7" t="s">
        <v>70</v>
      </c>
      <c r="K7" s="7" t="s">
        <v>71</v>
      </c>
      <c r="L7" s="7" t="s">
        <v>39</v>
      </c>
      <c r="M7" s="7" t="s">
        <v>40</v>
      </c>
      <c r="N7" s="7" t="s">
        <v>41</v>
      </c>
      <c r="O7" s="7" t="s">
        <v>42</v>
      </c>
      <c r="P7" s="7" t="s">
        <v>43</v>
      </c>
      <c r="Q7" s="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28"/>
    <col collapsed="false" customWidth="true" hidden="false" outlineLevel="0" max="9" min="9" style="0" width="40"/>
  </cols>
  <sheetData>
    <row r="1" customFormat="false" ht="30" hidden="false" customHeight="true" outlineLevel="0" collapsed="false">
      <c r="A1" s="6" t="s">
        <v>73</v>
      </c>
      <c r="B1" s="6" t="s">
        <v>15</v>
      </c>
      <c r="C1" s="6" t="s">
        <v>16</v>
      </c>
      <c r="D1" s="6" t="s">
        <v>17</v>
      </c>
      <c r="E1" s="6" t="s">
        <v>74</v>
      </c>
      <c r="F1" s="6" t="s">
        <v>20</v>
      </c>
      <c r="G1" s="6" t="s">
        <v>22</v>
      </c>
      <c r="H1" s="6" t="s">
        <v>23</v>
      </c>
      <c r="I1" s="6" t="s">
        <v>75</v>
      </c>
    </row>
    <row r="2" customFormat="false" ht="15" hidden="false" customHeight="false" outlineLevel="0" collapsed="false">
      <c r="A2" s="7" t="s">
        <v>76</v>
      </c>
      <c r="B2" s="7" t="n">
        <v>15</v>
      </c>
      <c r="C2" s="7" t="s">
        <v>46</v>
      </c>
      <c r="D2" s="7" t="s">
        <v>33</v>
      </c>
      <c r="E2" s="7" t="n">
        <v>43</v>
      </c>
      <c r="F2" s="7" t="s">
        <v>77</v>
      </c>
      <c r="G2" s="7" t="s">
        <v>78</v>
      </c>
      <c r="H2" s="7" t="s">
        <v>79</v>
      </c>
      <c r="I2" s="7" t="s">
        <v>80</v>
      </c>
    </row>
    <row r="3" customFormat="false" ht="15" hidden="false" customHeight="false" outlineLevel="0" collapsed="false">
      <c r="A3" s="7" t="s">
        <v>81</v>
      </c>
      <c r="B3" s="7" t="n">
        <v>15</v>
      </c>
      <c r="C3" s="7" t="s">
        <v>52</v>
      </c>
      <c r="D3" s="7" t="s">
        <v>82</v>
      </c>
      <c r="E3" s="7" t="n">
        <v>41</v>
      </c>
      <c r="F3" s="7" t="s">
        <v>77</v>
      </c>
      <c r="G3" s="7" t="s">
        <v>83</v>
      </c>
      <c r="H3" s="7" t="s">
        <v>84</v>
      </c>
      <c r="I3" s="7" t="s">
        <v>85</v>
      </c>
    </row>
    <row r="4" customFormat="false" ht="15" hidden="false" customHeight="false" outlineLevel="0" collapsed="false">
      <c r="A4" s="7" t="s">
        <v>86</v>
      </c>
      <c r="B4" s="7" t="n">
        <v>25</v>
      </c>
      <c r="C4" s="7" t="s">
        <v>52</v>
      </c>
      <c r="D4" s="7" t="s">
        <v>82</v>
      </c>
      <c r="E4" s="7" t="n">
        <v>41</v>
      </c>
      <c r="F4" s="7" t="s">
        <v>77</v>
      </c>
      <c r="G4" s="7" t="s">
        <v>87</v>
      </c>
      <c r="H4" s="7" t="s">
        <v>88</v>
      </c>
      <c r="I4" s="7" t="s">
        <v>85</v>
      </c>
    </row>
    <row r="5" customFormat="false" ht="23.85" hidden="false" customHeight="false" outlineLevel="0" collapsed="false">
      <c r="A5" s="7" t="s">
        <v>89</v>
      </c>
      <c r="B5" s="7" t="n">
        <v>35</v>
      </c>
      <c r="C5" s="7" t="s">
        <v>90</v>
      </c>
      <c r="D5" s="7" t="s">
        <v>64</v>
      </c>
      <c r="E5" s="7" t="n">
        <v>64.5</v>
      </c>
      <c r="F5" s="7" t="s">
        <v>77</v>
      </c>
      <c r="G5" s="7" t="s">
        <v>91</v>
      </c>
      <c r="H5" s="7" t="s">
        <v>92</v>
      </c>
      <c r="I5" s="7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32"/>
    <col collapsed="false" customWidth="true" hidden="false" outlineLevel="0" max="6" min="6" style="0" width="28"/>
  </cols>
  <sheetData>
    <row r="1" customFormat="false" ht="23.85" hidden="false" customHeight="false" outlineLevel="0" collapsed="false">
      <c r="A1" s="8" t="s">
        <v>94</v>
      </c>
      <c r="B1" s="8" t="s">
        <v>16</v>
      </c>
      <c r="C1" s="8" t="s">
        <v>95</v>
      </c>
      <c r="D1" s="8" t="s">
        <v>96</v>
      </c>
      <c r="E1" s="8" t="s">
        <v>97</v>
      </c>
      <c r="F1" s="8" t="s">
        <v>98</v>
      </c>
    </row>
    <row r="2" customFormat="false" ht="15" hidden="false" customHeight="false" outlineLevel="0" collapsed="false">
      <c r="A2" s="7" t="s">
        <v>99</v>
      </c>
      <c r="B2" s="7" t="s">
        <v>100</v>
      </c>
      <c r="C2" s="7" t="n">
        <v>35</v>
      </c>
      <c r="D2" s="7" t="s">
        <v>101</v>
      </c>
      <c r="E2" s="7" t="s">
        <v>102</v>
      </c>
      <c r="F2" s="7" t="s">
        <v>103</v>
      </c>
    </row>
    <row r="3" customFormat="false" ht="15" hidden="false" customHeight="false" outlineLevel="0" collapsed="false">
      <c r="A3" s="7" t="s">
        <v>104</v>
      </c>
      <c r="B3" s="7" t="s">
        <v>105</v>
      </c>
      <c r="C3" s="7" t="n">
        <v>35</v>
      </c>
      <c r="D3" s="7" t="s">
        <v>106</v>
      </c>
      <c r="E3" s="7" t="s">
        <v>107</v>
      </c>
      <c r="F3" s="7" t="s">
        <v>103</v>
      </c>
    </row>
    <row r="4" customFormat="false" ht="15" hidden="false" customHeight="false" outlineLevel="0" collapsed="false">
      <c r="A4" s="7" t="s">
        <v>108</v>
      </c>
      <c r="B4" s="7" t="s">
        <v>109</v>
      </c>
      <c r="C4" s="7" t="n">
        <v>35</v>
      </c>
      <c r="D4" s="7" t="s">
        <v>110</v>
      </c>
      <c r="E4" s="7" t="s">
        <v>111</v>
      </c>
      <c r="F4" s="7" t="s">
        <v>103</v>
      </c>
    </row>
    <row r="5" customFormat="false" ht="15" hidden="false" customHeight="false" outlineLevel="0" collapsed="false">
      <c r="A5" s="7" t="s">
        <v>112</v>
      </c>
      <c r="B5" s="7" t="s">
        <v>113</v>
      </c>
      <c r="C5" s="7" t="n">
        <v>35</v>
      </c>
      <c r="D5" s="7" t="s">
        <v>114</v>
      </c>
      <c r="E5" s="7" t="s">
        <v>115</v>
      </c>
      <c r="F5" s="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9" t="s">
        <v>117</v>
      </c>
      <c r="B1" s="10" t="s">
        <v>118</v>
      </c>
    </row>
    <row r="2" customFormat="false" ht="15" hidden="false" customHeight="false" outlineLevel="0" collapsed="false">
      <c r="A2" s="9" t="s">
        <v>119</v>
      </c>
      <c r="B2" s="10" t="s">
        <v>120</v>
      </c>
    </row>
    <row r="3" customFormat="false" ht="15" hidden="false" customHeight="false" outlineLevel="0" collapsed="false">
      <c r="A3" s="9" t="s">
        <v>121</v>
      </c>
      <c r="B3" s="10" t="s">
        <v>122</v>
      </c>
    </row>
    <row r="4" customFormat="false" ht="15" hidden="false" customHeight="false" outlineLevel="0" collapsed="false">
      <c r="A4" s="9" t="s">
        <v>123</v>
      </c>
      <c r="B4" s="10" t="s">
        <v>124</v>
      </c>
    </row>
    <row r="5" customFormat="false" ht="15" hidden="false" customHeight="false" outlineLevel="0" collapsed="false">
      <c r="A5" s="9" t="s">
        <v>125</v>
      </c>
      <c r="B5" s="10" t="s">
        <v>126</v>
      </c>
    </row>
    <row r="6" customFormat="false" ht="15" hidden="false" customHeight="false" outlineLevel="0" collapsed="false">
      <c r="A6" s="9" t="s">
        <v>127</v>
      </c>
      <c r="B6" s="10" t="s">
        <v>128</v>
      </c>
    </row>
    <row r="7" customFormat="false" ht="15" hidden="false" customHeight="false" outlineLevel="0" collapsed="false">
      <c r="A7" s="9" t="s">
        <v>129</v>
      </c>
      <c r="B7" s="10" t="s">
        <v>130</v>
      </c>
    </row>
    <row r="8" customFormat="false" ht="15" hidden="false" customHeight="false" outlineLevel="0" collapsed="false">
      <c r="A8" s="9" t="s">
        <v>131</v>
      </c>
      <c r="B8" s="10" t="s">
        <v>132</v>
      </c>
    </row>
    <row r="9" customFormat="false" ht="15" hidden="false" customHeight="false" outlineLevel="0" collapsed="false">
      <c r="A9" s="9" t="s">
        <v>133</v>
      </c>
      <c r="B9" s="10" t="s">
        <v>134</v>
      </c>
    </row>
    <row r="10" customFormat="false" ht="15" hidden="false" customHeight="false" outlineLevel="0" collapsed="false">
      <c r="A10" s="9" t="s">
        <v>135</v>
      </c>
      <c r="B10" s="10" t="s">
        <v>136</v>
      </c>
    </row>
    <row r="11" customFormat="false" ht="15" hidden="false" customHeight="false" outlineLevel="0" collapsed="false">
      <c r="A11" s="9"/>
      <c r="B11" s="10"/>
    </row>
    <row r="12" customFormat="false" ht="23.85" hidden="false" customHeight="false" outlineLevel="0" collapsed="false">
      <c r="A12" s="9" t="s">
        <v>137</v>
      </c>
      <c r="B12" s="10" t="s">
        <v>138</v>
      </c>
    </row>
    <row r="13" customFormat="false" ht="15" hidden="false" customHeight="false" outlineLevel="0" collapsed="false">
      <c r="A13" s="9" t="s">
        <v>139</v>
      </c>
      <c r="B13" s="10" t="s">
        <v>140</v>
      </c>
    </row>
    <row r="14" customFormat="false" ht="15" hidden="false" customHeight="false" outlineLevel="0" collapsed="false">
      <c r="A14" s="9" t="s">
        <v>141</v>
      </c>
      <c r="B14" s="10" t="s">
        <v>142</v>
      </c>
    </row>
    <row r="15" customFormat="false" ht="15" hidden="false" customHeight="false" outlineLevel="0" collapsed="false">
      <c r="A15" s="9" t="s">
        <v>143</v>
      </c>
      <c r="B15" s="10" t="s">
        <v>144</v>
      </c>
    </row>
    <row r="16" customFormat="false" ht="15" hidden="false" customHeight="false" outlineLevel="0" collapsed="false">
      <c r="A16" s="9" t="s">
        <v>145</v>
      </c>
      <c r="B16" s="10" t="s">
        <v>146</v>
      </c>
    </row>
    <row r="17" customFormat="false" ht="23.85" hidden="false" customHeight="false" outlineLevel="0" collapsed="false">
      <c r="A17" s="9" t="s">
        <v>147</v>
      </c>
      <c r="B17" s="10" t="s">
        <v>148</v>
      </c>
    </row>
    <row r="18" customFormat="false" ht="15" hidden="false" customHeight="false" outlineLevel="0" collapsed="false">
      <c r="A18" s="9" t="s">
        <v>149</v>
      </c>
      <c r="B18" s="10" t="s">
        <v>150</v>
      </c>
    </row>
    <row r="19" customFormat="false" ht="15" hidden="false" customHeight="false" outlineLevel="0" collapsed="false">
      <c r="A19" s="9" t="s">
        <v>151</v>
      </c>
      <c r="B19" s="10" t="s">
        <v>152</v>
      </c>
    </row>
    <row r="20" customFormat="false" ht="15" hidden="false" customHeight="false" outlineLevel="0" collapsed="false">
      <c r="A20" s="9" t="s">
        <v>153</v>
      </c>
      <c r="B20" s="1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2026-10-09T10:07:23Z</dcterms:created>
  <dc:creator>openpyxl</dc:creator>
  <dc:description/>
  <dc:language>en-US</dc:language>
  <cp:lastModifiedBy/>
  <dcterms:modified xsi:type="dcterms:W3CDTF">2026-10-09T10:07:23Z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